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Automation\SPR4P\Resource\RedfishBase\"/>
    </mc:Choice>
  </mc:AlternateContent>
  <xr:revisionPtr revIDLastSave="0" documentId="13_ncr:1_{78F0BAC4-62A8-4659-B500-D7110F9A22B0}" xr6:coauthVersionLast="47" xr6:coauthVersionMax="47" xr10:uidLastSave="{00000000-0000-0000-0000-000000000000}"/>
  <bookViews>
    <workbookView xWindow="-108" yWindow="-108" windowWidth="30936" windowHeight="16896" activeTab="1" xr2:uid="{00000000-000D-0000-FFFF-FFFF00000000}"/>
  </bookViews>
  <sheets>
    <sheet name="修订记录" sheetId="2" r:id="rId1"/>
    <sheet name="V7工具选项对齐表格" sheetId="1" r:id="rId2"/>
  </sheets>
  <definedNames>
    <definedName name="_xlnm._FilterDatabase" localSheetId="1" hidden="1">V7工具选项对齐表格!$B$1:$F$66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 l="1"/>
  <c r="H11" i="1"/>
  <c r="H2" i="1" l="1"/>
  <c r="H3" i="1"/>
  <c r="H4" i="1"/>
  <c r="H5" i="1"/>
  <c r="H6" i="1"/>
  <c r="H7" i="1"/>
  <c r="H8" i="1"/>
  <c r="H9" i="1"/>
  <c r="H10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Xuzhigang (Gargantuar)</author>
  </authors>
  <commentList>
    <comment ref="D2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Xuzhigang (Gargantuar):</t>
        </r>
        <r>
          <rPr>
            <sz val="9"/>
            <color indexed="81"/>
            <rFont val="宋体"/>
            <family val="3"/>
            <charset val="134"/>
          </rPr>
          <t xml:space="preserve">
键值是否有依赖</t>
        </r>
      </text>
    </comment>
  </commentList>
</comments>
</file>

<file path=xl/sharedStrings.xml><?xml version="1.0" encoding="utf-8"?>
<sst xmlns="http://schemas.openxmlformats.org/spreadsheetml/2006/main" count="247" uniqueCount="159">
  <si>
    <t>工具</t>
    <phoneticPr fontId="1" type="noConversion"/>
  </si>
  <si>
    <t>依赖选项</t>
    <phoneticPr fontId="1" type="noConversion"/>
  </si>
  <si>
    <t>选项键值</t>
    <phoneticPr fontId="1" type="noConversion"/>
  </si>
  <si>
    <t>[LegacyBoot,UEFIBoot]</t>
    <phoneticPr fontId="1" type="noConversion"/>
  </si>
  <si>
    <t>[Disabled,Enabled]</t>
    <phoneticPr fontId="1" type="noConversion"/>
  </si>
  <si>
    <t>BootTypeOrder0</t>
  </si>
  <si>
    <t>BootTypeOrder1</t>
  </si>
  <si>
    <t>BootTypeOrder2</t>
  </si>
  <si>
    <t>BootTypeOrder3</t>
  </si>
  <si>
    <t>[HardDiskDrive,DVDROMDrive,PXE,Others]</t>
    <phoneticPr fontId="1" type="noConversion"/>
  </si>
  <si>
    <t>OSWDTEnable</t>
    <phoneticPr fontId="1" type="noConversion"/>
  </si>
  <si>
    <t>SPBoot</t>
    <phoneticPr fontId="1" type="noConversion"/>
  </si>
  <si>
    <t>BMCWDTEnable</t>
    <phoneticPr fontId="1" type="noConversion"/>
  </si>
  <si>
    <t>BootType</t>
  </si>
  <si>
    <t>QuietBoot</t>
  </si>
  <si>
    <t>ProcessorC1eEnable</t>
  </si>
  <si>
    <t>CoherencySupport</t>
  </si>
  <si>
    <t>ATS</t>
  </si>
  <si>
    <t>DCUIPPrefetcherEnable</t>
  </si>
  <si>
    <t>DCUStreamerPrefetcherEnable</t>
  </si>
  <si>
    <t>CREnable</t>
  </si>
  <si>
    <t>PXE2Setting</t>
  </si>
  <si>
    <t>PXE3Setting</t>
  </si>
  <si>
    <t>PXE4Setting</t>
  </si>
  <si>
    <t>BootType</t>
    <phoneticPr fontId="2" type="noConversion"/>
  </si>
  <si>
    <t>BootTypeOrder0</t>
    <phoneticPr fontId="2" type="noConversion"/>
  </si>
  <si>
    <t>OSWDTEnable</t>
    <phoneticPr fontId="2" type="noConversion"/>
  </si>
  <si>
    <t>ProcessorEistEnable</t>
    <phoneticPr fontId="2" type="noConversion"/>
  </si>
  <si>
    <t>intel RC差异引入，需要工具适配</t>
    <phoneticPr fontId="1" type="noConversion"/>
  </si>
  <si>
    <t>已隐藏，需要工具适配</t>
    <phoneticPr fontId="1" type="noConversion"/>
  </si>
  <si>
    <t>已隐藏，需要工具适配</t>
    <phoneticPr fontId="1" type="noConversion"/>
  </si>
  <si>
    <t>已隐藏，需要工具适配</t>
    <phoneticPr fontId="1" type="noConversion"/>
  </si>
  <si>
    <t>已隐藏，需要工具适配</t>
    <phoneticPr fontId="1" type="noConversion"/>
  </si>
  <si>
    <t>已隐藏，需要工具适配</t>
    <phoneticPr fontId="1" type="noConversion"/>
  </si>
  <si>
    <t>TurboMode</t>
    <phoneticPr fontId="2" type="noConversion"/>
  </si>
  <si>
    <t>VTdSupport</t>
    <phoneticPr fontId="2" type="noConversion"/>
  </si>
  <si>
    <t>InterruptRemap</t>
    <phoneticPr fontId="2" type="noConversion"/>
  </si>
  <si>
    <t>intel RC已移除，需要工具适配</t>
    <phoneticPr fontId="1" type="noConversion"/>
  </si>
  <si>
    <t>ProcessorLtsxEnable</t>
    <phoneticPr fontId="2" type="noConversion"/>
  </si>
  <si>
    <t>ProcessorVmxEnable</t>
    <phoneticPr fontId="2" type="noConversion"/>
  </si>
  <si>
    <t>ProcessorX2apic</t>
    <phoneticPr fontId="2" type="noConversion"/>
  </si>
  <si>
    <t>MlcSpatialPrefetcherEnable</t>
    <phoneticPr fontId="2" type="noConversion"/>
  </si>
  <si>
    <t>MlcStreamerPrefetcherEnable</t>
    <phoneticPr fontId="2" type="noConversion"/>
  </si>
  <si>
    <t>DCUIPPrefetcherEnable</t>
    <phoneticPr fontId="2" type="noConversion"/>
  </si>
  <si>
    <t>DCUStreamerPrefetcherEnable</t>
    <phoneticPr fontId="2" type="noConversion"/>
  </si>
  <si>
    <t>PowerSaving</t>
    <phoneticPr fontId="2" type="noConversion"/>
  </si>
  <si>
    <t>NumaEn</t>
    <phoneticPr fontId="2" type="noConversion"/>
  </si>
  <si>
    <t>CREnable</t>
    <phoneticPr fontId="2" type="noConversion"/>
  </si>
  <si>
    <t>GlobalTerminalType</t>
    <phoneticPr fontId="2" type="noConversion"/>
  </si>
  <si>
    <t>GlobalParity</t>
    <phoneticPr fontId="2" type="noConversion"/>
  </si>
  <si>
    <t>GlobalBaudRate</t>
    <phoneticPr fontId="2" type="noConversion"/>
  </si>
  <si>
    <t>GlobalStopBits</t>
    <phoneticPr fontId="2" type="noConversion"/>
  </si>
  <si>
    <t>GlobalDataBits</t>
    <phoneticPr fontId="2" type="noConversion"/>
  </si>
  <si>
    <t>OSWDTAction</t>
    <phoneticPr fontId="2" type="noConversion"/>
  </si>
  <si>
    <t>OSWDTTimeout</t>
    <phoneticPr fontId="2" type="noConversion"/>
  </si>
  <si>
    <t>对应ocp卡控制开关，slot开关也要上报</t>
    <phoneticPr fontId="1" type="noConversion"/>
  </si>
  <si>
    <t>PXE1Setting</t>
    <phoneticPr fontId="2" type="noConversion"/>
  </si>
  <si>
    <t>PXE2Setting</t>
    <phoneticPr fontId="2" type="noConversion"/>
  </si>
  <si>
    <t>PXE3Setting</t>
    <phoneticPr fontId="2" type="noConversion"/>
  </si>
  <si>
    <t>PXE4Setting</t>
    <phoneticPr fontId="2" type="noConversion"/>
  </si>
  <si>
    <t>XptPrefetchEn</t>
    <phoneticPr fontId="2" type="noConversion"/>
  </si>
  <si>
    <t>Pci64BitResourceAllocation</t>
    <phoneticPr fontId="2" type="noConversion"/>
  </si>
  <si>
    <t>LlcPrefetchEnable</t>
    <phoneticPr fontId="2" type="noConversion"/>
  </si>
  <si>
    <t>已隐藏，需要工具适配</t>
    <phoneticPr fontId="1" type="noConversion"/>
  </si>
  <si>
    <t>SP_Boot（V6）</t>
    <phoneticPr fontId="1" type="noConversion"/>
  </si>
  <si>
    <t>iBMC_WDT_Support_For_POST（V6）</t>
    <phoneticPr fontId="1" type="noConversion"/>
  </si>
  <si>
    <t>iBMC_WDT_Support_For_OS（V6）</t>
    <phoneticPr fontId="1" type="noConversion"/>
  </si>
  <si>
    <t>接口分析</t>
    <phoneticPr fontId="1" type="noConversion"/>
  </si>
  <si>
    <t>最终接口</t>
    <phoneticPr fontId="1" type="noConversion"/>
  </si>
  <si>
    <t>WakeOnPME</t>
    <phoneticPr fontId="1" type="noConversion"/>
  </si>
  <si>
    <t>C6Enable</t>
    <phoneticPr fontId="1" type="noConversion"/>
  </si>
  <si>
    <t>[Auto,Disabled,Enabled]</t>
    <phoneticPr fontId="1" type="noConversion"/>
  </si>
  <si>
    <t>PXE1Setting</t>
    <phoneticPr fontId="1" type="noConversion"/>
  </si>
  <si>
    <t>XPTPrefetchEn</t>
    <phoneticPr fontId="1" type="noConversion"/>
  </si>
  <si>
    <t>VTdSupport</t>
    <phoneticPr fontId="1" type="noConversion"/>
  </si>
  <si>
    <t>InterruptRemap</t>
    <phoneticPr fontId="1" type="noConversion"/>
  </si>
  <si>
    <t>PCIeSRIOVSupport</t>
    <phoneticPr fontId="1" type="noConversion"/>
  </si>
  <si>
    <t>[Per IIO Port,Disabled,Enabled]</t>
    <phoneticPr fontId="1" type="noConversion"/>
  </si>
  <si>
    <t>ProcessorHyperThreadingDisable</t>
    <phoneticPr fontId="1" type="noConversion"/>
  </si>
  <si>
    <t>ProcessorLTSXEnable</t>
    <phoneticPr fontId="1" type="noConversion"/>
  </si>
  <si>
    <t>ProcessorVMXEnable</t>
    <phoneticPr fontId="1" type="noConversion"/>
  </si>
  <si>
    <t>ProcessorX2APIC</t>
    <phoneticPr fontId="1" type="noConversion"/>
  </si>
  <si>
    <t>MLCSpatialPrefetcherEnable</t>
    <phoneticPr fontId="1" type="noConversion"/>
  </si>
  <si>
    <t>MLCStreamerPrefetcherEnable</t>
    <phoneticPr fontId="1" type="noConversion"/>
  </si>
  <si>
    <t>PowerSaving</t>
    <phoneticPr fontId="1" type="noConversion"/>
  </si>
  <si>
    <t>MonitorMwaitEnable</t>
    <phoneticPr fontId="1" type="noConversion"/>
  </si>
  <si>
    <t>NUMAEn</t>
    <phoneticPr fontId="1" type="noConversion"/>
  </si>
  <si>
    <t>DDRFreqLimit</t>
    <phoneticPr fontId="1" type="noConversion"/>
  </si>
  <si>
    <t>GlobalTerminalType</t>
    <phoneticPr fontId="1" type="noConversion"/>
  </si>
  <si>
    <t>[VT_100,VT_100+,VT_UTF8,PC_ANSI,LOG_TERM]</t>
    <phoneticPr fontId="1" type="noConversion"/>
  </si>
  <si>
    <t>GlobalParity</t>
    <phoneticPr fontId="1" type="noConversion"/>
  </si>
  <si>
    <t>[None,Even,Odd]</t>
    <phoneticPr fontId="1" type="noConversion"/>
  </si>
  <si>
    <t>GlobalBaudRate</t>
    <phoneticPr fontId="1" type="noConversion"/>
  </si>
  <si>
    <t>[115200,57600,38400,19200,9600,4800,2400,1200]</t>
    <phoneticPr fontId="1" type="noConversion"/>
  </si>
  <si>
    <t>[1 Bit,2 Bit]</t>
    <phoneticPr fontId="1" type="noConversion"/>
  </si>
  <si>
    <t>GlobalDataBits</t>
    <phoneticPr fontId="1" type="noConversion"/>
  </si>
  <si>
    <t>[7 Bits,8 Bits]</t>
    <phoneticPr fontId="1" type="noConversion"/>
  </si>
  <si>
    <t>GlobalStopBits</t>
    <phoneticPr fontId="1" type="noConversion"/>
  </si>
  <si>
    <t>OSWDTAction</t>
    <phoneticPr fontId="1" type="noConversion"/>
  </si>
  <si>
    <t>OSWDTTimeout</t>
    <phoneticPr fontId="1" type="noConversion"/>
  </si>
  <si>
    <t>[2,3,4,5,6,7,8]</t>
    <phoneticPr fontId="1" type="noConversion"/>
  </si>
  <si>
    <t>PCI64BitResourceAllocation</t>
    <phoneticPr fontId="1" type="noConversion"/>
  </si>
  <si>
    <t>LLCPrefetchEnable</t>
    <phoneticPr fontId="2" type="noConversion"/>
  </si>
  <si>
    <t>之前redfish接口名字和变量名不一致，当前修正为一致，需要工具适配</t>
    <phoneticPr fontId="1" type="noConversion"/>
  </si>
  <si>
    <t>安全原因上报状态，但是不支持修改，需要工具适配</t>
    <phoneticPr fontId="1" type="noConversion"/>
  </si>
  <si>
    <t>OemSecureBoot</t>
    <phoneticPr fontId="1" type="noConversion"/>
  </si>
  <si>
    <t>[HardDiskDrive,DVDROMDrive,PXE,Others]</t>
    <phoneticPr fontId="1" type="noConversion"/>
  </si>
  <si>
    <t>BootTypeOrder0</t>
    <phoneticPr fontId="1" type="noConversion"/>
  </si>
  <si>
    <t>已优化去除，改成performance Profile菜单，需要工具适配</t>
    <phoneticPr fontId="1" type="noConversion"/>
  </si>
  <si>
    <t>[Auto,Disabled,Enabled]</t>
    <phoneticPr fontId="1" type="noConversion"/>
  </si>
  <si>
    <t>SriovEnablePolicy</t>
    <phoneticPr fontId="1" type="noConversion"/>
  </si>
  <si>
    <t>重新设计该功能，需要工具适配修改</t>
    <phoneticPr fontId="1" type="noConversion"/>
  </si>
  <si>
    <t>PXEBootToLanLegacy</t>
    <phoneticPr fontId="1" type="noConversion"/>
  </si>
  <si>
    <t>对应ocp卡控制开关，slot开关也要上报</t>
    <phoneticPr fontId="1" type="noConversion"/>
  </si>
  <si>
    <t>对应ocp卡控制开关，slot开关也要上报</t>
    <phoneticPr fontId="1" type="noConversion"/>
  </si>
  <si>
    <t>PxeBootToLan</t>
    <phoneticPr fontId="1" type="noConversion"/>
  </si>
  <si>
    <t>[NoAction,HardReset,PowerDown,PowerCycle]</t>
    <phoneticPr fontId="1" type="noConversion"/>
  </si>
  <si>
    <t>WakeOnPME</t>
    <phoneticPr fontId="1" type="noConversion"/>
  </si>
  <si>
    <t>C6Enable</t>
    <phoneticPr fontId="1" type="noConversion"/>
  </si>
  <si>
    <t>ProcessorC1eEnable</t>
    <phoneticPr fontId="1" type="noConversion"/>
  </si>
  <si>
    <t>MonitorMWait</t>
    <phoneticPr fontId="1" type="noConversion"/>
  </si>
  <si>
    <t>是否重复</t>
    <phoneticPr fontId="1" type="noConversion"/>
  </si>
  <si>
    <t>SP/Urest（王钦东 00010733）</t>
    <phoneticPr fontId="1" type="noConversion"/>
  </si>
  <si>
    <t>SmartKit（冯铭 00010139）</t>
    <phoneticPr fontId="1" type="noConversion"/>
  </si>
  <si>
    <t>FD（孟新平 00010619）</t>
    <phoneticPr fontId="1" type="noConversion"/>
  </si>
  <si>
    <t>BootType</t>
    <phoneticPr fontId="1" type="noConversion"/>
  </si>
  <si>
    <t>QuickBoot</t>
    <phoneticPr fontId="1" type="noConversion"/>
  </si>
  <si>
    <t>CustomPowerPolicy</t>
    <phoneticPr fontId="1" type="noConversion"/>
  </si>
  <si>
    <t>ProcessorAutonomousCStateEnable</t>
    <phoneticPr fontId="1" type="noConversion"/>
  </si>
  <si>
    <t>ProcessorEISTEnable</t>
    <phoneticPr fontId="1" type="noConversion"/>
  </si>
  <si>
    <t>TurboMode</t>
    <phoneticPr fontId="1" type="noConversion"/>
  </si>
  <si>
    <t>BootPState</t>
    <phoneticPr fontId="1" type="noConversion"/>
  </si>
  <si>
    <t>BootType</t>
    <phoneticPr fontId="1" type="noConversion"/>
  </si>
  <si>
    <t>BootTypeOrder1</t>
    <phoneticPr fontId="1" type="noConversion"/>
  </si>
  <si>
    <t>PassThroughDMA</t>
    <phoneticPr fontId="1" type="noConversion"/>
  </si>
  <si>
    <t>变更选项名</t>
    <phoneticPr fontId="1" type="noConversion"/>
  </si>
  <si>
    <t>移除选项</t>
    <phoneticPr fontId="1" type="noConversion"/>
  </si>
  <si>
    <t>变更键值名</t>
    <phoneticPr fontId="1" type="noConversion"/>
  </si>
  <si>
    <t>变更选项名
变更键值名</t>
    <phoneticPr fontId="1" type="noConversion"/>
  </si>
  <si>
    <t>intel RC差异引入（V7移除），需要工具适配</t>
    <phoneticPr fontId="1" type="noConversion"/>
  </si>
  <si>
    <t>只读选项</t>
    <phoneticPr fontId="1" type="noConversion"/>
  </si>
  <si>
    <t>ProcessorHyperThreadingDisable
[ALL LPs, Single LP]</t>
    <phoneticPr fontId="2" type="noConversion"/>
  </si>
  <si>
    <t>工具变动说明</t>
    <phoneticPr fontId="1" type="noConversion"/>
  </si>
  <si>
    <t>文档版本</t>
    <phoneticPr fontId="12" type="noConversion"/>
  </si>
  <si>
    <t>修订说明</t>
    <phoneticPr fontId="12" type="noConversion"/>
  </si>
  <si>
    <t>修订日期</t>
    <phoneticPr fontId="12" type="noConversion"/>
  </si>
  <si>
    <t>v1.0</t>
    <phoneticPr fontId="12" type="noConversion"/>
  </si>
  <si>
    <t>初始版本</t>
    <phoneticPr fontId="12" type="noConversion"/>
  </si>
  <si>
    <t>李胜</t>
    <phoneticPr fontId="1" type="noConversion"/>
  </si>
  <si>
    <t>修订者</t>
    <phoneticPr fontId="12" type="noConversion"/>
  </si>
  <si>
    <t>AESEnable</t>
    <phoneticPr fontId="1" type="noConversion"/>
  </si>
  <si>
    <t>BMCWDTAction</t>
    <phoneticPr fontId="1" type="noConversion"/>
  </si>
  <si>
    <t>BMCWDTTimeout</t>
    <phoneticPr fontId="1" type="noConversion"/>
  </si>
  <si>
    <t>[18,19,20,21,22,23,24,25]</t>
    <phoneticPr fontId="1" type="noConversion"/>
  </si>
  <si>
    <t>[Disabled,Enabled,Auto]</t>
    <phoneticPr fontId="1" type="noConversion"/>
  </si>
  <si>
    <t>v1.1</t>
  </si>
  <si>
    <t>新增选项BMCWDTAction/BMCWDTTimeout</t>
    <phoneticPr fontId="1" type="noConversion"/>
  </si>
  <si>
    <t>DdrFreqLimit</t>
    <phoneticPr fontId="2" type="noConversion"/>
  </si>
  <si>
    <t>[Auto,3200,3600,4000,4400,4800]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</si>
</sst>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3" fillId="3" borderId="1" xfId="0" applyFont="1" applyFill="1" applyBorder="1">
      <alignment vertical="center"/>
    </xf>
    <xf numFmtId="0" fontId="0" fillId="0" borderId="0" xfId="0" applyAlignment="1">
      <alignment vertical="center" wrapText="1"/>
    </xf>
    <xf numFmtId="0" fontId="4" fillId="3" borderId="1" xfId="0" applyFont="1" applyFill="1" applyBorder="1">
      <alignment vertical="center"/>
    </xf>
    <xf numFmtId="0" fontId="0" fillId="0" borderId="1" xfId="0" applyBorder="1" applyAlignment="1">
      <alignment vertical="center" wrapText="1"/>
    </xf>
    <xf numFmtId="0" fontId="0" fillId="4" borderId="1" xfId="0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6" fillId="4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0" fillId="6" borderId="1" xfId="0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6" fillId="2" borderId="1" xfId="0" applyFont="1" applyFill="1" applyBorder="1">
      <alignment vertical="center"/>
    </xf>
    <xf numFmtId="0" fontId="0" fillId="0" borderId="1" xfId="0" applyBorder="1" applyAlignment="1"/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E1140-5E52-4B2D-8008-FB157B64E405}">
  <dimension ref="A1:D4"/>
  <sheetViews>
    <sheetView workbookViewId="0">
      <selection activeCell="B4" sqref="B4"/>
    </sheetView>
  </sheetViews>
  <sheetFormatPr defaultRowHeight="14.4"/>
  <cols>
    <col min="2" max="2" width="25.44140625" customWidth="1"/>
    <col min="3" max="3" width="11.6640625" customWidth="1"/>
    <col min="4" max="4" width="11.44140625" customWidth="1"/>
  </cols>
  <sheetData>
    <row r="1" spans="1:4">
      <c r="A1" s="26" t="s">
        <v>143</v>
      </c>
      <c r="B1" s="26" t="s">
        <v>144</v>
      </c>
      <c r="C1" s="26" t="s">
        <v>149</v>
      </c>
      <c r="D1" s="26" t="s">
        <v>145</v>
      </c>
    </row>
    <row r="2" spans="1:4">
      <c r="A2" s="26" t="s">
        <v>146</v>
      </c>
      <c r="B2" s="26" t="s">
        <v>147</v>
      </c>
      <c r="C2" s="27" t="s">
        <v>148</v>
      </c>
      <c r="D2" s="27">
        <v>44872</v>
      </c>
    </row>
    <row r="3" spans="1:4">
      <c r="A3" s="26" t="s">
        <v>155</v>
      </c>
      <c r="B3" s="1" t="s">
        <v>156</v>
      </c>
      <c r="C3" s="27" t="s">
        <v>148</v>
      </c>
      <c r="D3" s="27">
        <v>44907</v>
      </c>
    </row>
    <row r="4" spans="1:4">
      <c r="B4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66"/>
  <sheetViews>
    <sheetView tabSelected="1" zoomScale="115" zoomScaleNormal="115" workbookViewId="0">
      <pane ySplit="1" topLeftCell="A35" activePane="bottomLeft" state="frozen"/>
      <selection pane="bottomLeft" activeCell="D51" sqref="D51"/>
    </sheetView>
  </sheetViews>
  <sheetFormatPr defaultRowHeight="14.4"/>
  <cols>
    <col min="1" max="1" width="4.44140625" customWidth="1"/>
    <col min="2" max="2" width="26.21875" customWidth="1"/>
    <col min="3" max="3" width="31.6640625" customWidth="1"/>
    <col min="4" max="4" width="51" customWidth="1"/>
    <col min="5" max="5" width="13.33203125" customWidth="1"/>
    <col min="6" max="6" width="35.44140625" style="5" customWidth="1"/>
    <col min="7" max="7" width="32.109375" customWidth="1"/>
    <col min="8" max="8" width="9" style="16"/>
  </cols>
  <sheetData>
    <row r="1" spans="2:8">
      <c r="B1" s="17" t="s">
        <v>0</v>
      </c>
      <c r="C1" s="17" t="s">
        <v>1</v>
      </c>
      <c r="D1" s="17" t="s">
        <v>2</v>
      </c>
      <c r="E1" s="17" t="s">
        <v>142</v>
      </c>
      <c r="F1" s="18" t="s">
        <v>67</v>
      </c>
      <c r="G1" s="17" t="s">
        <v>68</v>
      </c>
      <c r="H1" s="16" t="s">
        <v>121</v>
      </c>
    </row>
    <row r="2" spans="2:8">
      <c r="B2" s="28" t="s">
        <v>122</v>
      </c>
      <c r="C2" s="11" t="s">
        <v>132</v>
      </c>
      <c r="D2" s="12" t="s">
        <v>3</v>
      </c>
      <c r="E2" s="22"/>
      <c r="F2" s="7"/>
      <c r="G2" s="3" t="s">
        <v>24</v>
      </c>
      <c r="H2" s="16">
        <f t="shared" ref="H2:H33" si="0">IF(COUNTIF(G:G,G2)&gt;1,COUNTIF(G:G,G2),"N")</f>
        <v>2</v>
      </c>
    </row>
    <row r="3" spans="2:8" ht="28.8">
      <c r="B3" s="28"/>
      <c r="C3" s="10" t="s">
        <v>105</v>
      </c>
      <c r="D3" s="1" t="s">
        <v>4</v>
      </c>
      <c r="E3" s="2" t="s">
        <v>140</v>
      </c>
      <c r="F3" s="7" t="s">
        <v>104</v>
      </c>
      <c r="G3" s="3" t="s">
        <v>105</v>
      </c>
      <c r="H3" s="16" t="str">
        <f t="shared" si="0"/>
        <v>N</v>
      </c>
    </row>
    <row r="4" spans="2:8">
      <c r="B4" s="28"/>
      <c r="C4" s="10" t="s">
        <v>107</v>
      </c>
      <c r="D4" s="1" t="s">
        <v>106</v>
      </c>
      <c r="E4" s="2"/>
      <c r="F4" s="7"/>
      <c r="G4" s="3" t="s">
        <v>25</v>
      </c>
      <c r="H4" s="16">
        <f t="shared" si="0"/>
        <v>2</v>
      </c>
    </row>
    <row r="5" spans="2:8">
      <c r="B5" s="28"/>
      <c r="C5" s="10" t="s">
        <v>133</v>
      </c>
      <c r="D5" s="1" t="s">
        <v>9</v>
      </c>
      <c r="E5" s="2"/>
      <c r="F5" s="7"/>
      <c r="G5" s="3" t="s">
        <v>6</v>
      </c>
      <c r="H5" s="16">
        <f t="shared" si="0"/>
        <v>2</v>
      </c>
    </row>
    <row r="6" spans="2:8">
      <c r="B6" s="28"/>
      <c r="C6" s="10" t="s">
        <v>7</v>
      </c>
      <c r="D6" s="1" t="s">
        <v>9</v>
      </c>
      <c r="E6" s="2"/>
      <c r="F6" s="7"/>
      <c r="G6" s="3" t="s">
        <v>7</v>
      </c>
      <c r="H6" s="16">
        <f t="shared" si="0"/>
        <v>2</v>
      </c>
    </row>
    <row r="7" spans="2:8">
      <c r="B7" s="28"/>
      <c r="C7" s="10" t="s">
        <v>8</v>
      </c>
      <c r="D7" s="1" t="s">
        <v>9</v>
      </c>
      <c r="E7" s="2"/>
      <c r="F7" s="7"/>
      <c r="G7" s="3" t="s">
        <v>8</v>
      </c>
      <c r="H7" s="16">
        <f t="shared" si="0"/>
        <v>2</v>
      </c>
    </row>
    <row r="8" spans="2:8">
      <c r="B8" s="29" t="s">
        <v>123</v>
      </c>
      <c r="C8" s="10" t="s">
        <v>10</v>
      </c>
      <c r="D8" s="1" t="s">
        <v>4</v>
      </c>
      <c r="E8" s="2"/>
      <c r="F8" s="7"/>
      <c r="G8" s="3" t="s">
        <v>26</v>
      </c>
      <c r="H8" s="16">
        <f t="shared" si="0"/>
        <v>2</v>
      </c>
    </row>
    <row r="9" spans="2:8">
      <c r="B9" s="29"/>
      <c r="C9" s="10" t="s">
        <v>11</v>
      </c>
      <c r="D9" s="1" t="s">
        <v>4</v>
      </c>
      <c r="E9" s="2"/>
      <c r="F9" s="7"/>
      <c r="G9" s="3" t="s">
        <v>11</v>
      </c>
      <c r="H9" s="16" t="str">
        <f t="shared" si="0"/>
        <v>N</v>
      </c>
    </row>
    <row r="10" spans="2:8">
      <c r="B10" s="29"/>
      <c r="C10" s="1" t="s">
        <v>12</v>
      </c>
      <c r="D10" s="1" t="s">
        <v>4</v>
      </c>
      <c r="E10" s="2"/>
      <c r="F10" s="7"/>
      <c r="G10" s="3" t="s">
        <v>12</v>
      </c>
      <c r="H10" s="16" t="str">
        <f t="shared" si="0"/>
        <v>N</v>
      </c>
    </row>
    <row r="11" spans="2:8">
      <c r="B11" s="29"/>
      <c r="C11" s="1" t="s">
        <v>151</v>
      </c>
      <c r="D11" s="15" t="s">
        <v>116</v>
      </c>
      <c r="E11" s="2"/>
      <c r="F11" s="7"/>
      <c r="G11" s="3" t="s">
        <v>151</v>
      </c>
      <c r="H11" s="16" t="str">
        <f t="shared" si="0"/>
        <v>N</v>
      </c>
    </row>
    <row r="12" spans="2:8">
      <c r="B12" s="29"/>
      <c r="C12" s="1" t="s">
        <v>152</v>
      </c>
      <c r="D12" s="1" t="s">
        <v>153</v>
      </c>
      <c r="E12" s="2"/>
      <c r="F12" s="7"/>
      <c r="G12" s="3" t="s">
        <v>152</v>
      </c>
      <c r="H12" s="16" t="str">
        <f t="shared" si="0"/>
        <v>N</v>
      </c>
    </row>
    <row r="13" spans="2:8">
      <c r="B13" s="29"/>
      <c r="C13" s="21" t="s">
        <v>64</v>
      </c>
      <c r="D13" s="21" t="s">
        <v>4</v>
      </c>
      <c r="E13" s="2"/>
      <c r="F13" s="7"/>
      <c r="G13" s="1"/>
      <c r="H13" s="16" t="str">
        <f t="shared" si="0"/>
        <v>N</v>
      </c>
    </row>
    <row r="14" spans="2:8">
      <c r="B14" s="29"/>
      <c r="C14" s="21" t="s">
        <v>65</v>
      </c>
      <c r="D14" s="21" t="s">
        <v>4</v>
      </c>
      <c r="E14" s="2"/>
      <c r="F14" s="7"/>
      <c r="G14" s="1"/>
      <c r="H14" s="16" t="str">
        <f t="shared" si="0"/>
        <v>N</v>
      </c>
    </row>
    <row r="15" spans="2:8">
      <c r="B15" s="29"/>
      <c r="C15" s="21" t="s">
        <v>66</v>
      </c>
      <c r="D15" s="21" t="s">
        <v>4</v>
      </c>
      <c r="E15" s="2"/>
      <c r="F15" s="7"/>
      <c r="G15" s="1"/>
      <c r="H15" s="16" t="str">
        <f t="shared" si="0"/>
        <v>N</v>
      </c>
    </row>
    <row r="16" spans="2:8">
      <c r="B16" s="28" t="s">
        <v>124</v>
      </c>
      <c r="C16" s="1" t="s">
        <v>125</v>
      </c>
      <c r="D16" s="10" t="s">
        <v>3</v>
      </c>
      <c r="E16" s="23"/>
      <c r="F16" s="7"/>
      <c r="G16" s="3" t="s">
        <v>13</v>
      </c>
      <c r="H16" s="16">
        <f t="shared" si="0"/>
        <v>2</v>
      </c>
    </row>
    <row r="17" spans="2:8">
      <c r="B17" s="28"/>
      <c r="C17" s="1" t="s">
        <v>126</v>
      </c>
      <c r="D17" s="1"/>
      <c r="E17" s="2" t="s">
        <v>136</v>
      </c>
      <c r="F17" s="7" t="s">
        <v>63</v>
      </c>
      <c r="G17" s="1"/>
      <c r="H17" s="16" t="str">
        <f t="shared" si="0"/>
        <v>N</v>
      </c>
    </row>
    <row r="18" spans="2:8">
      <c r="B18" s="28"/>
      <c r="C18" s="1" t="s">
        <v>14</v>
      </c>
      <c r="D18" s="1"/>
      <c r="E18" s="2" t="s">
        <v>136</v>
      </c>
      <c r="F18" s="7" t="s">
        <v>30</v>
      </c>
      <c r="G18" s="1"/>
      <c r="H18" s="16" t="str">
        <f t="shared" si="0"/>
        <v>N</v>
      </c>
    </row>
    <row r="19" spans="2:8">
      <c r="B19" s="28"/>
      <c r="C19" s="1" t="s">
        <v>69</v>
      </c>
      <c r="D19" s="1" t="s">
        <v>4</v>
      </c>
      <c r="E19" s="2"/>
      <c r="F19" s="7"/>
      <c r="G19" s="3" t="s">
        <v>117</v>
      </c>
      <c r="H19" s="16" t="str">
        <f t="shared" si="0"/>
        <v>N</v>
      </c>
    </row>
    <row r="20" spans="2:8">
      <c r="B20" s="28"/>
      <c r="C20" s="1" t="s">
        <v>5</v>
      </c>
      <c r="D20" s="1" t="s">
        <v>9</v>
      </c>
      <c r="E20" s="2"/>
      <c r="F20" s="7"/>
      <c r="G20" s="3" t="s">
        <v>5</v>
      </c>
      <c r="H20" s="16">
        <f t="shared" si="0"/>
        <v>2</v>
      </c>
    </row>
    <row r="21" spans="2:8">
      <c r="B21" s="28"/>
      <c r="C21" s="1" t="s">
        <v>6</v>
      </c>
      <c r="D21" s="1" t="s">
        <v>9</v>
      </c>
      <c r="E21" s="2"/>
      <c r="F21" s="7"/>
      <c r="G21" s="3" t="s">
        <v>6</v>
      </c>
      <c r="H21" s="16">
        <f t="shared" si="0"/>
        <v>2</v>
      </c>
    </row>
    <row r="22" spans="2:8">
      <c r="B22" s="28"/>
      <c r="C22" s="1" t="s">
        <v>7</v>
      </c>
      <c r="D22" s="1" t="s">
        <v>9</v>
      </c>
      <c r="E22" s="2"/>
      <c r="F22" s="7"/>
      <c r="G22" s="3" t="s">
        <v>7</v>
      </c>
      <c r="H22" s="16">
        <f t="shared" si="0"/>
        <v>2</v>
      </c>
    </row>
    <row r="23" spans="2:8">
      <c r="B23" s="28"/>
      <c r="C23" s="1" t="s">
        <v>8</v>
      </c>
      <c r="D23" s="1" t="s">
        <v>9</v>
      </c>
      <c r="E23" s="2"/>
      <c r="F23" s="7"/>
      <c r="G23" s="3" t="s">
        <v>8</v>
      </c>
      <c r="H23" s="16">
        <f t="shared" si="0"/>
        <v>2</v>
      </c>
    </row>
    <row r="24" spans="2:8" ht="28.8">
      <c r="B24" s="28"/>
      <c r="C24" s="1" t="s">
        <v>127</v>
      </c>
      <c r="D24" s="1"/>
      <c r="E24" s="2" t="s">
        <v>136</v>
      </c>
      <c r="F24" s="7" t="s">
        <v>108</v>
      </c>
      <c r="G24" s="1"/>
      <c r="H24" s="16" t="str">
        <f t="shared" si="0"/>
        <v>N</v>
      </c>
    </row>
    <row r="25" spans="2:8">
      <c r="B25" s="28"/>
      <c r="C25" s="1" t="s">
        <v>128</v>
      </c>
      <c r="D25" s="1"/>
      <c r="E25" s="2" t="s">
        <v>136</v>
      </c>
      <c r="F25" s="7" t="s">
        <v>37</v>
      </c>
      <c r="G25" s="1"/>
      <c r="H25" s="16" t="str">
        <f t="shared" si="0"/>
        <v>N</v>
      </c>
    </row>
    <row r="26" spans="2:8">
      <c r="B26" s="28"/>
      <c r="C26" s="1" t="s">
        <v>70</v>
      </c>
      <c r="D26" s="1" t="s">
        <v>109</v>
      </c>
      <c r="E26" s="2"/>
      <c r="F26" s="7"/>
      <c r="G26" s="3" t="s">
        <v>118</v>
      </c>
      <c r="H26" s="16" t="str">
        <f t="shared" si="0"/>
        <v>N</v>
      </c>
    </row>
    <row r="27" spans="2:8">
      <c r="B27" s="28"/>
      <c r="C27" s="1" t="s">
        <v>15</v>
      </c>
      <c r="D27" s="1" t="s">
        <v>4</v>
      </c>
      <c r="E27" s="2"/>
      <c r="F27" s="7"/>
      <c r="G27" s="3" t="s">
        <v>119</v>
      </c>
      <c r="H27" s="16" t="str">
        <f t="shared" si="0"/>
        <v>N</v>
      </c>
    </row>
    <row r="28" spans="2:8" ht="15.6">
      <c r="B28" s="28"/>
      <c r="C28" s="1" t="s">
        <v>129</v>
      </c>
      <c r="D28" s="1" t="s">
        <v>4</v>
      </c>
      <c r="E28" s="2" t="s">
        <v>135</v>
      </c>
      <c r="F28" s="7" t="s">
        <v>28</v>
      </c>
      <c r="G28" s="4" t="s">
        <v>27</v>
      </c>
      <c r="H28" s="16" t="str">
        <f t="shared" si="0"/>
        <v>N</v>
      </c>
    </row>
    <row r="29" spans="2:8">
      <c r="B29" s="28"/>
      <c r="C29" s="1" t="s">
        <v>130</v>
      </c>
      <c r="D29" s="1" t="s">
        <v>4</v>
      </c>
      <c r="E29" s="2"/>
      <c r="F29" s="7"/>
      <c r="G29" s="3" t="s">
        <v>34</v>
      </c>
      <c r="H29" s="16" t="str">
        <f t="shared" si="0"/>
        <v>N</v>
      </c>
    </row>
    <row r="30" spans="2:8">
      <c r="B30" s="28"/>
      <c r="C30" s="1" t="s">
        <v>131</v>
      </c>
      <c r="D30" s="1"/>
      <c r="E30" s="2" t="s">
        <v>136</v>
      </c>
      <c r="F30" s="7" t="s">
        <v>32</v>
      </c>
      <c r="G30" s="1"/>
      <c r="H30" s="16" t="str">
        <f t="shared" si="0"/>
        <v>N</v>
      </c>
    </row>
    <row r="31" spans="2:8">
      <c r="B31" s="28"/>
      <c r="C31" s="1" t="s">
        <v>74</v>
      </c>
      <c r="D31" s="1" t="s">
        <v>4</v>
      </c>
      <c r="E31" s="2"/>
      <c r="F31" s="7"/>
      <c r="G31" s="3" t="s">
        <v>35</v>
      </c>
      <c r="H31" s="16" t="str">
        <f t="shared" si="0"/>
        <v>N</v>
      </c>
    </row>
    <row r="32" spans="2:8">
      <c r="B32" s="28"/>
      <c r="C32" s="1" t="s">
        <v>75</v>
      </c>
      <c r="D32" s="1" t="s">
        <v>4</v>
      </c>
      <c r="E32" s="2"/>
      <c r="F32" s="7"/>
      <c r="G32" s="3" t="s">
        <v>36</v>
      </c>
      <c r="H32" s="16" t="str">
        <f t="shared" si="0"/>
        <v>N</v>
      </c>
    </row>
    <row r="33" spans="2:8">
      <c r="B33" s="28"/>
      <c r="C33" s="1" t="s">
        <v>76</v>
      </c>
      <c r="D33" s="1" t="s">
        <v>77</v>
      </c>
      <c r="E33" s="24" t="s">
        <v>135</v>
      </c>
      <c r="F33" s="13" t="s">
        <v>111</v>
      </c>
      <c r="G33" s="8" t="s">
        <v>110</v>
      </c>
      <c r="H33" s="16" t="str">
        <f t="shared" si="0"/>
        <v>N</v>
      </c>
    </row>
    <row r="34" spans="2:8">
      <c r="B34" s="28"/>
      <c r="C34" s="1" t="s">
        <v>16</v>
      </c>
      <c r="D34" s="1"/>
      <c r="E34" s="2" t="s">
        <v>136</v>
      </c>
      <c r="F34" s="7" t="s">
        <v>29</v>
      </c>
      <c r="G34" s="1"/>
      <c r="H34" s="16" t="str">
        <f t="shared" ref="H34:H65" si="1">IF(COUNTIF(G:G,G34)&gt;1,COUNTIF(G:G,G34),"N")</f>
        <v>N</v>
      </c>
    </row>
    <row r="35" spans="2:8">
      <c r="B35" s="28"/>
      <c r="C35" s="1" t="s">
        <v>134</v>
      </c>
      <c r="D35" s="1"/>
      <c r="E35" s="2" t="s">
        <v>136</v>
      </c>
      <c r="F35" s="7" t="s">
        <v>37</v>
      </c>
      <c r="G35" s="1"/>
      <c r="H35" s="16" t="str">
        <f t="shared" si="1"/>
        <v>N</v>
      </c>
    </row>
    <row r="36" spans="2:8">
      <c r="B36" s="28"/>
      <c r="C36" s="1" t="s">
        <v>17</v>
      </c>
      <c r="D36" s="1"/>
      <c r="E36" s="2" t="s">
        <v>136</v>
      </c>
      <c r="F36" s="7" t="s">
        <v>33</v>
      </c>
      <c r="G36" s="1"/>
      <c r="H36" s="16" t="str">
        <f t="shared" si="1"/>
        <v>N</v>
      </c>
    </row>
    <row r="37" spans="2:8" ht="46.8">
      <c r="B37" s="28"/>
      <c r="C37" s="1" t="s">
        <v>78</v>
      </c>
      <c r="D37" s="1" t="s">
        <v>4</v>
      </c>
      <c r="E37" s="2" t="s">
        <v>137</v>
      </c>
      <c r="F37" s="7"/>
      <c r="G37" s="20" t="s">
        <v>141</v>
      </c>
      <c r="H37" s="16" t="str">
        <f t="shared" si="1"/>
        <v>N</v>
      </c>
    </row>
    <row r="38" spans="2:8" ht="15.6">
      <c r="B38" s="28"/>
      <c r="C38" s="1" t="s">
        <v>79</v>
      </c>
      <c r="D38" s="1" t="s">
        <v>4</v>
      </c>
      <c r="E38" s="2" t="s">
        <v>135</v>
      </c>
      <c r="F38" s="7" t="s">
        <v>28</v>
      </c>
      <c r="G38" s="4" t="s">
        <v>38</v>
      </c>
      <c r="H38" s="16" t="str">
        <f t="shared" si="1"/>
        <v>N</v>
      </c>
    </row>
    <row r="39" spans="2:8" ht="15.6">
      <c r="B39" s="28"/>
      <c r="C39" s="1" t="s">
        <v>80</v>
      </c>
      <c r="D39" s="1" t="s">
        <v>4</v>
      </c>
      <c r="E39" s="2" t="s">
        <v>135</v>
      </c>
      <c r="F39" s="7" t="s">
        <v>28</v>
      </c>
      <c r="G39" s="4" t="s">
        <v>39</v>
      </c>
      <c r="H39" s="16" t="str">
        <f t="shared" si="1"/>
        <v>N</v>
      </c>
    </row>
    <row r="40" spans="2:8" ht="15.6">
      <c r="B40" s="28"/>
      <c r="C40" s="1" t="s">
        <v>81</v>
      </c>
      <c r="D40" s="1" t="s">
        <v>4</v>
      </c>
      <c r="E40" s="2" t="s">
        <v>135</v>
      </c>
      <c r="F40" s="7" t="s">
        <v>28</v>
      </c>
      <c r="G40" s="4" t="s">
        <v>40</v>
      </c>
      <c r="H40" s="16" t="str">
        <f t="shared" si="1"/>
        <v>N</v>
      </c>
    </row>
    <row r="41" spans="2:8" ht="15.6">
      <c r="B41" s="28"/>
      <c r="C41" s="1" t="s">
        <v>82</v>
      </c>
      <c r="D41" s="1" t="s">
        <v>4</v>
      </c>
      <c r="E41" s="2" t="s">
        <v>135</v>
      </c>
      <c r="F41" s="7" t="s">
        <v>28</v>
      </c>
      <c r="G41" s="4" t="s">
        <v>41</v>
      </c>
      <c r="H41" s="16" t="str">
        <f t="shared" si="1"/>
        <v>N</v>
      </c>
    </row>
    <row r="42" spans="2:8" ht="15.6">
      <c r="B42" s="28"/>
      <c r="C42" s="1" t="s">
        <v>83</v>
      </c>
      <c r="D42" s="1" t="s">
        <v>4</v>
      </c>
      <c r="E42" s="2" t="s">
        <v>135</v>
      </c>
      <c r="F42" s="7" t="s">
        <v>28</v>
      </c>
      <c r="G42" s="4" t="s">
        <v>42</v>
      </c>
      <c r="H42" s="16" t="str">
        <f t="shared" si="1"/>
        <v>N</v>
      </c>
    </row>
    <row r="43" spans="2:8" ht="15.6">
      <c r="B43" s="28"/>
      <c r="C43" s="1" t="s">
        <v>18</v>
      </c>
      <c r="D43" s="1" t="s">
        <v>4</v>
      </c>
      <c r="E43" s="2"/>
      <c r="F43" s="7"/>
      <c r="G43" s="6" t="s">
        <v>43</v>
      </c>
      <c r="H43" s="16" t="str">
        <f t="shared" si="1"/>
        <v>N</v>
      </c>
    </row>
    <row r="44" spans="2:8">
      <c r="B44" s="28"/>
      <c r="C44" s="1" t="s">
        <v>19</v>
      </c>
      <c r="D44" s="1" t="s">
        <v>4</v>
      </c>
      <c r="E44" s="2"/>
      <c r="F44" s="7"/>
      <c r="G44" s="3" t="s">
        <v>44</v>
      </c>
      <c r="H44" s="16" t="str">
        <f t="shared" si="1"/>
        <v>N</v>
      </c>
    </row>
    <row r="45" spans="2:8">
      <c r="B45" s="28"/>
      <c r="C45" s="1" t="s">
        <v>84</v>
      </c>
      <c r="D45" s="1" t="s">
        <v>4</v>
      </c>
      <c r="E45" s="2"/>
      <c r="F45" s="7"/>
      <c r="G45" s="3" t="s">
        <v>45</v>
      </c>
      <c r="H45" s="16" t="str">
        <f t="shared" si="1"/>
        <v>N</v>
      </c>
    </row>
    <row r="46" spans="2:8" ht="15.6">
      <c r="B46" s="28"/>
      <c r="C46" s="1" t="s">
        <v>85</v>
      </c>
      <c r="D46" s="1" t="s">
        <v>154</v>
      </c>
      <c r="E46" s="2" t="s">
        <v>135</v>
      </c>
      <c r="F46" s="7" t="s">
        <v>28</v>
      </c>
      <c r="G46" s="4" t="s">
        <v>120</v>
      </c>
      <c r="H46" s="16" t="str">
        <f t="shared" si="1"/>
        <v>N</v>
      </c>
    </row>
    <row r="47" spans="2:8">
      <c r="B47" s="28"/>
      <c r="C47" s="1" t="s">
        <v>150</v>
      </c>
      <c r="D47" s="1"/>
      <c r="E47" s="2" t="s">
        <v>136</v>
      </c>
      <c r="F47" s="7" t="s">
        <v>31</v>
      </c>
      <c r="G47" s="1"/>
      <c r="H47" s="16" t="str">
        <f t="shared" si="1"/>
        <v>N</v>
      </c>
    </row>
    <row r="48" spans="2:8" ht="15.6">
      <c r="B48" s="28"/>
      <c r="C48" s="1" t="s">
        <v>86</v>
      </c>
      <c r="D48" s="1" t="s">
        <v>4</v>
      </c>
      <c r="E48" s="2" t="s">
        <v>135</v>
      </c>
      <c r="F48" s="7" t="s">
        <v>28</v>
      </c>
      <c r="G48" s="4" t="s">
        <v>46</v>
      </c>
      <c r="H48" s="16" t="str">
        <f t="shared" si="1"/>
        <v>N</v>
      </c>
    </row>
    <row r="49" spans="2:8" ht="15.6">
      <c r="B49" s="28"/>
      <c r="C49" s="1" t="s">
        <v>20</v>
      </c>
      <c r="D49" s="1" t="s">
        <v>4</v>
      </c>
      <c r="E49" s="2"/>
      <c r="F49" s="7"/>
      <c r="G49" s="6" t="s">
        <v>47</v>
      </c>
      <c r="H49" s="16" t="str">
        <f t="shared" si="1"/>
        <v>N</v>
      </c>
    </row>
    <row r="50" spans="2:8" ht="28.8">
      <c r="B50" s="28"/>
      <c r="C50" s="1" t="s">
        <v>87</v>
      </c>
      <c r="D50" s="14" t="s">
        <v>158</v>
      </c>
      <c r="E50" s="24" t="s">
        <v>138</v>
      </c>
      <c r="F50" s="7" t="s">
        <v>28</v>
      </c>
      <c r="G50" s="19" t="s">
        <v>157</v>
      </c>
      <c r="H50" s="16" t="str">
        <f t="shared" si="1"/>
        <v>N</v>
      </c>
    </row>
    <row r="51" spans="2:8" ht="15.6">
      <c r="B51" s="28"/>
      <c r="C51" s="1" t="s">
        <v>88</v>
      </c>
      <c r="D51" s="1" t="s">
        <v>89</v>
      </c>
      <c r="E51" s="2"/>
      <c r="F51" s="7"/>
      <c r="G51" s="6" t="s">
        <v>48</v>
      </c>
      <c r="H51" s="16" t="str">
        <f t="shared" si="1"/>
        <v>N</v>
      </c>
    </row>
    <row r="52" spans="2:8">
      <c r="B52" s="28"/>
      <c r="C52" s="1" t="s">
        <v>90</v>
      </c>
      <c r="D52" s="1" t="s">
        <v>91</v>
      </c>
      <c r="E52" s="2"/>
      <c r="F52" s="7"/>
      <c r="G52" s="3" t="s">
        <v>49</v>
      </c>
      <c r="H52" s="16" t="str">
        <f t="shared" si="1"/>
        <v>N</v>
      </c>
    </row>
    <row r="53" spans="2:8">
      <c r="B53" s="28"/>
      <c r="C53" s="1" t="s">
        <v>92</v>
      </c>
      <c r="D53" s="1" t="s">
        <v>93</v>
      </c>
      <c r="E53" s="2"/>
      <c r="F53" s="7"/>
      <c r="G53" s="3" t="s">
        <v>50</v>
      </c>
      <c r="H53" s="16" t="str">
        <f t="shared" si="1"/>
        <v>N</v>
      </c>
    </row>
    <row r="54" spans="2:8">
      <c r="B54" s="28"/>
      <c r="C54" s="1" t="s">
        <v>97</v>
      </c>
      <c r="D54" s="1" t="s">
        <v>94</v>
      </c>
      <c r="E54" s="2"/>
      <c r="F54" s="7"/>
      <c r="G54" s="3" t="s">
        <v>51</v>
      </c>
      <c r="H54" s="16" t="str">
        <f t="shared" si="1"/>
        <v>N</v>
      </c>
    </row>
    <row r="55" spans="2:8">
      <c r="B55" s="28"/>
      <c r="C55" s="1" t="s">
        <v>95</v>
      </c>
      <c r="D55" s="1" t="s">
        <v>96</v>
      </c>
      <c r="E55" s="2"/>
      <c r="F55" s="7"/>
      <c r="G55" s="3" t="s">
        <v>52</v>
      </c>
      <c r="H55" s="16" t="str">
        <f t="shared" si="1"/>
        <v>N</v>
      </c>
    </row>
    <row r="56" spans="2:8">
      <c r="B56" s="28"/>
      <c r="C56" s="1" t="s">
        <v>10</v>
      </c>
      <c r="D56" s="1" t="s">
        <v>4</v>
      </c>
      <c r="E56" s="2"/>
      <c r="F56" s="7"/>
      <c r="G56" s="3" t="s">
        <v>26</v>
      </c>
      <c r="H56" s="16">
        <f t="shared" si="1"/>
        <v>2</v>
      </c>
    </row>
    <row r="57" spans="2:8">
      <c r="B57" s="28"/>
      <c r="C57" s="1" t="s">
        <v>98</v>
      </c>
      <c r="D57" s="15" t="s">
        <v>116</v>
      </c>
      <c r="E57" s="25"/>
      <c r="F57" s="7"/>
      <c r="G57" s="3" t="s">
        <v>53</v>
      </c>
      <c r="H57" s="16" t="str">
        <f t="shared" si="1"/>
        <v>N</v>
      </c>
    </row>
    <row r="58" spans="2:8" ht="15.6">
      <c r="B58" s="28"/>
      <c r="C58" s="1" t="s">
        <v>99</v>
      </c>
      <c r="D58" s="1" t="s">
        <v>100</v>
      </c>
      <c r="E58" s="2"/>
      <c r="F58" s="7"/>
      <c r="G58" s="6" t="s">
        <v>54</v>
      </c>
      <c r="H58" s="16" t="str">
        <f t="shared" si="1"/>
        <v>N</v>
      </c>
    </row>
    <row r="59" spans="2:8" ht="28.8">
      <c r="B59" s="28"/>
      <c r="C59" s="1" t="s">
        <v>72</v>
      </c>
      <c r="D59" s="1" t="s">
        <v>4</v>
      </c>
      <c r="E59" s="2"/>
      <c r="F59" s="7" t="s">
        <v>113</v>
      </c>
      <c r="G59" s="6" t="s">
        <v>56</v>
      </c>
      <c r="H59" s="16" t="str">
        <f t="shared" si="1"/>
        <v>N</v>
      </c>
    </row>
    <row r="60" spans="2:8" ht="28.8">
      <c r="B60" s="28"/>
      <c r="C60" s="1" t="s">
        <v>21</v>
      </c>
      <c r="D60" s="1" t="s">
        <v>4</v>
      </c>
      <c r="E60" s="2"/>
      <c r="F60" s="7" t="s">
        <v>55</v>
      </c>
      <c r="G60" s="6" t="s">
        <v>57</v>
      </c>
      <c r="H60" s="16" t="str">
        <f t="shared" si="1"/>
        <v>N</v>
      </c>
    </row>
    <row r="61" spans="2:8" ht="28.8">
      <c r="B61" s="28"/>
      <c r="C61" s="1" t="s">
        <v>22</v>
      </c>
      <c r="D61" s="1" t="s">
        <v>4</v>
      </c>
      <c r="E61" s="2"/>
      <c r="F61" s="7" t="s">
        <v>114</v>
      </c>
      <c r="G61" s="6" t="s">
        <v>58</v>
      </c>
      <c r="H61" s="16" t="str">
        <f t="shared" si="1"/>
        <v>N</v>
      </c>
    </row>
    <row r="62" spans="2:8" ht="28.8">
      <c r="B62" s="28"/>
      <c r="C62" s="1" t="s">
        <v>23</v>
      </c>
      <c r="D62" s="1" t="s">
        <v>4</v>
      </c>
      <c r="E62" s="2"/>
      <c r="F62" s="7" t="s">
        <v>55</v>
      </c>
      <c r="G62" s="6" t="s">
        <v>59</v>
      </c>
      <c r="H62" s="16" t="str">
        <f t="shared" si="1"/>
        <v>N</v>
      </c>
    </row>
    <row r="63" spans="2:8" ht="28.8">
      <c r="B63" s="28"/>
      <c r="C63" s="1" t="s">
        <v>73</v>
      </c>
      <c r="D63" s="1" t="s">
        <v>71</v>
      </c>
      <c r="E63" s="2" t="s">
        <v>136</v>
      </c>
      <c r="F63" s="7" t="s">
        <v>139</v>
      </c>
      <c r="G63" s="4" t="s">
        <v>60</v>
      </c>
      <c r="H63" s="16" t="str">
        <f t="shared" si="1"/>
        <v>N</v>
      </c>
    </row>
    <row r="64" spans="2:8" ht="15.6">
      <c r="B64" s="28"/>
      <c r="C64" s="1" t="s">
        <v>101</v>
      </c>
      <c r="D64" s="1" t="s">
        <v>4</v>
      </c>
      <c r="E64" s="2" t="s">
        <v>135</v>
      </c>
      <c r="F64" s="7" t="s">
        <v>28</v>
      </c>
      <c r="G64" s="4" t="s">
        <v>61</v>
      </c>
      <c r="H64" s="16" t="str">
        <f t="shared" si="1"/>
        <v>N</v>
      </c>
    </row>
    <row r="65" spans="2:8" ht="28.8">
      <c r="B65" s="28"/>
      <c r="C65" s="1" t="s">
        <v>112</v>
      </c>
      <c r="D65" s="1" t="s">
        <v>4</v>
      </c>
      <c r="E65" s="2" t="s">
        <v>135</v>
      </c>
      <c r="F65" s="7" t="s">
        <v>103</v>
      </c>
      <c r="G65" s="8" t="s">
        <v>115</v>
      </c>
      <c r="H65" s="16" t="str">
        <f t="shared" si="1"/>
        <v>N</v>
      </c>
    </row>
    <row r="66" spans="2:8" ht="15.6">
      <c r="B66" s="28"/>
      <c r="C66" s="9" t="s">
        <v>102</v>
      </c>
      <c r="D66" s="1" t="s">
        <v>4</v>
      </c>
      <c r="E66" s="2" t="s">
        <v>135</v>
      </c>
      <c r="F66" s="7" t="s">
        <v>28</v>
      </c>
      <c r="G66" s="4" t="s">
        <v>62</v>
      </c>
      <c r="H66" s="16" t="str">
        <f t="shared" ref="H66" si="2">IF(COUNTIF(G:G,G66)&gt;1,COUNTIF(G:G,G66),"N")</f>
        <v>N</v>
      </c>
    </row>
  </sheetData>
  <autoFilter ref="B1:F66" xr:uid="{DBC06CDA-82FE-4DA7-9849-CDEB9E53FA45}"/>
  <mergeCells count="3">
    <mergeCell ref="B2:B7"/>
    <mergeCell ref="B8:B15"/>
    <mergeCell ref="B16:B66"/>
  </mergeCells>
  <phoneticPr fontId="1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修订记录</vt:lpstr>
      <vt:lpstr>V7工具选项对齐表格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Xuzhigang (Gargantuar)</dc:creator>
  <cp:lastModifiedBy>wqs</cp:lastModifiedBy>
  <dcterms:created xsi:type="dcterms:W3CDTF">2020-11-19T11:45:20Z</dcterms:created>
  <dcterms:modified xsi:type="dcterms:W3CDTF">2022-12-12T09:03:29Z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(3)W1LAIR3Ez8P+/zisjKIwQkEB6JiPai75Iita1MbOJsQHM/qz7msEXebBA+ajKazd8mzDhJTr
uPOG0br1Vdqv7NtaZk3Qf1BUmISbvni1cbiWfNF3Lx4XOwoyYlBJ4zU5MhcIgLXtwLQT5uYb
yY2zErkEGTqPXLhSd27KylnzJT9J+DBgOV/aWSLYCExIm9H2/H15MFMPWnVj3TeMAijNckls
Ss53OWbMJUi/mMgqz/</vt:lpwstr>
  </property>
  <property fmtid="{D5CDD505-2E9C-101B-9397-08002B2CF9AE}" pid="3" name="_2015_ms_pID_7253431">
    <vt:lpwstr>Cnp+9Uxw4LWTciMNUOngO49xGYOAzshLQluzyktMn6ZAKsIbputX3Q
7PgCcs6f5hjb9bw9SiGF7UcTl/7Pv+SH6Yc4UmdNfanwGzC0NVBkPlJOCVK97guUkGl0SbTU
0x85q3CLA5i9PkoDaM6PsmK+TKdaITU9MYQceyykJ6ur2JLdVnCjhm6NVe7/5PyA2Bn+pjn6
VZVFTvQrHn2roxQ79ZMUwxY/dmAvisjoYM9y</vt:lpwstr>
  </property>
  <property fmtid="{D5CDD505-2E9C-101B-9397-08002B2CF9AE}" pid="4" name="_2015_ms_pID_7253432">
    <vt:lpwstr>8Q==</vt:lpwstr>
  </property>
</Properties>
</file>